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dentificación Casos" sheetId="2" r:id="rId5"/>
    <sheet state="visible" name="Control" sheetId="3" r:id="rId6"/>
    <sheet state="hidden" name="Datos del plan" sheetId="4" r:id="rId7"/>
  </sheets>
  <definedNames/>
  <calcPr/>
  <extLst>
    <ext uri="GoogleSheetsCustomDataVersion2">
      <go:sheetsCustomData xmlns:go="http://customooxmlschemas.google.com/" r:id="rId8" roundtripDataChecksum="TpGNrSzkirMiODSx7g7qa7v9NNGoPjGypJRFURA63Gw="/>
    </ext>
  </extLst>
</workbook>
</file>

<file path=xl/sharedStrings.xml><?xml version="1.0" encoding="utf-8"?>
<sst xmlns="http://schemas.openxmlformats.org/spreadsheetml/2006/main" count="265" uniqueCount="147">
  <si>
    <t>Plan de prueba ShopNow</t>
  </si>
  <si>
    <t>Integrantes:
Alejandrina Farias, Jefa de proyecto
Camila Castillo, Analista QA
Anthony Romero, DB
Benjamin Romero, DB</t>
  </si>
  <si>
    <t>ID</t>
  </si>
  <si>
    <t>Nombre de la prueba</t>
  </si>
  <si>
    <t>Tipo</t>
  </si>
  <si>
    <t>Resultado esperado</t>
  </si>
  <si>
    <t>Resultado obtenido</t>
  </si>
  <si>
    <t>Modulo a probar</t>
  </si>
  <si>
    <t>Resultado</t>
  </si>
  <si>
    <t>Candidato a automatizar</t>
  </si>
  <si>
    <t>Observación</t>
  </si>
  <si>
    <t>Responsable ejecución</t>
  </si>
  <si>
    <t>Complejidad</t>
  </si>
  <si>
    <t>MTC_010</t>
  </si>
  <si>
    <t>Validar inicio de sesión con credenciales válidas</t>
  </si>
  <si>
    <t>Funcional</t>
  </si>
  <si>
    <t>Generar JWT correctamente</t>
  </si>
  <si>
    <t>Token emitido exitosamente</t>
  </si>
  <si>
    <t>AuthController</t>
  </si>
  <si>
    <t>OK</t>
  </si>
  <si>
    <t>SI</t>
  </si>
  <si>
    <t>Login exitoso</t>
  </si>
  <si>
    <t>Camila Castillo</t>
  </si>
  <si>
    <t>Baja</t>
  </si>
  <si>
    <t>MTC_020</t>
  </si>
  <si>
    <t>Inicio de sesión con contraseña incorrecta</t>
  </si>
  <si>
    <t>Rechazar autenticación</t>
  </si>
  <si>
    <t>Retorna 401 Unauthorized</t>
  </si>
  <si>
    <t>Manejo correcto de error</t>
  </si>
  <si>
    <t>Alejandrina Farias</t>
  </si>
  <si>
    <t>MTC_030</t>
  </si>
  <si>
    <t>Registro de cliente válido</t>
  </si>
  <si>
    <t>UAT</t>
  </si>
  <si>
    <t>Registrar cliente</t>
  </si>
  <si>
    <t>Cliente registrado</t>
  </si>
  <si>
    <t>ClienteController</t>
  </si>
  <si>
    <t>Cumple requerimiento usuario</t>
  </si>
  <si>
    <t>Benjamin Romero</t>
  </si>
  <si>
    <t>MTC_040</t>
  </si>
  <si>
    <t>Registro de cliente con datos incompletos</t>
  </si>
  <si>
    <t>Código</t>
  </si>
  <si>
    <t>Validar campos obligatorios</t>
  </si>
  <si>
    <t>Se detectó ausencia de validaciones completas</t>
  </si>
  <si>
    <t>NOK</t>
  </si>
  <si>
    <t>Requiere mejora de validaciones</t>
  </si>
  <si>
    <t>Anthony Romero</t>
  </si>
  <si>
    <t>Media</t>
  </si>
  <si>
    <t>MTC_050</t>
  </si>
  <si>
    <t>Comunicación Cliente–Pedido</t>
  </si>
  <si>
    <t>End to End</t>
  </si>
  <si>
    <t>Obtener información del cliente para el pedido</t>
  </si>
  <si>
    <t>Dependencia no disponible durante prueba</t>
  </si>
  <si>
    <t>Integración</t>
  </si>
  <si>
    <t>Bloqueado</t>
  </si>
  <si>
    <t>Microservicio Cliente no respondió</t>
  </si>
  <si>
    <t>Alta</t>
  </si>
  <si>
    <t>MTC_060</t>
  </si>
  <si>
    <t>Prueba de estrés sobre login</t>
  </si>
  <si>
    <t>Stress</t>
  </si>
  <si>
    <t>Mantener disponibilidad</t>
  </si>
  <si>
    <t>No ejecutada por falta de herramienta</t>
  </si>
  <si>
    <t>Seguridad</t>
  </si>
  <si>
    <t>No ejecutado</t>
  </si>
  <si>
    <t>Requiere JMeter</t>
  </si>
  <si>
    <t>MTC_070</t>
  </si>
  <si>
    <t>Tiempo de respuesta consulta clientes</t>
  </si>
  <si>
    <t>Rendimiento</t>
  </si>
  <si>
    <t>Responder en tiempo aceptable</t>
  </si>
  <si>
    <t>ejecutada</t>
  </si>
  <si>
    <t>Falta medición formal</t>
  </si>
  <si>
    <t>MTC_080</t>
  </si>
  <si>
    <t>Prueba de carga sobre creación de pedidos</t>
  </si>
  <si>
    <t>Carga</t>
  </si>
  <si>
    <t>Soportar múltiples solicitudes</t>
  </si>
  <si>
    <t>No ejecutada</t>
  </si>
  <si>
    <t>PedidoController</t>
  </si>
  <si>
    <t>Pendiente con herramienta de carga</t>
  </si>
  <si>
    <t>MTC_090</t>
  </si>
  <si>
    <t>Obtener listado de clientes</t>
  </si>
  <si>
    <t>Retornar clientes registrados</t>
  </si>
  <si>
    <t>Lista obtenida correctamente</t>
  </si>
  <si>
    <t>Consulta exitosa</t>
  </si>
  <si>
    <t>MTC_0100</t>
  </si>
  <si>
    <t>Buscar cliente inexistente</t>
  </si>
  <si>
    <t>Informar que no existe</t>
  </si>
  <si>
    <t>Se obtuvo respuesta controlada</t>
  </si>
  <si>
    <t>Manejo correcto de ausencia</t>
  </si>
  <si>
    <t>MTC_0110</t>
  </si>
  <si>
    <t>Crear pedido válido</t>
  </si>
  <si>
    <t>Registrar pedido</t>
  </si>
  <si>
    <t>Pedido registrado correctamente</t>
  </si>
  <si>
    <t>Flujo exitoso</t>
  </si>
  <si>
    <t>MTC_0120</t>
  </si>
  <si>
    <t>Crear pedido con cliente inexistente</t>
  </si>
  <si>
    <t>Rechazar creación</t>
  </si>
  <si>
    <t>Pedido no registrado</t>
  </si>
  <si>
    <t>Validación correcta</t>
  </si>
  <si>
    <t>MTC_0130</t>
  </si>
  <si>
    <t>Consultar pedidos registrados</t>
  </si>
  <si>
    <t>Retornar listado</t>
  </si>
  <si>
    <t>MTC_0140</t>
  </si>
  <si>
    <t>Acceder a endpoint protegido sin JWT</t>
  </si>
  <si>
    <t>No Funcional</t>
  </si>
  <si>
    <t>Denegar acceso</t>
  </si>
  <si>
    <t>Error 401 Unauthorized</t>
  </si>
  <si>
    <t>SecurityConfig</t>
  </si>
  <si>
    <t>Seguridad funcionando</t>
  </si>
  <si>
    <t>MTC_0150</t>
  </si>
  <si>
    <t>Acceder con JWT inválido</t>
  </si>
  <si>
    <t>Rechazar solicitud</t>
  </si>
  <si>
    <t>Token rechazado</t>
  </si>
  <si>
    <t>JwtService</t>
  </si>
  <si>
    <t>MTC_0160</t>
  </si>
  <si>
    <t>SQL Injection en autenticación</t>
  </si>
  <si>
    <t>Impedir bypass de login</t>
  </si>
  <si>
    <t>No fue posible autenticar</t>
  </si>
  <si>
    <t>Spring Security mitigó el riesgo</t>
  </si>
  <si>
    <t>MTC_0170</t>
  </si>
  <si>
    <t>SQL Injection en búsqueda</t>
  </si>
  <si>
    <t>Evitar manipulación de consultas</t>
  </si>
  <si>
    <t>Entrada tratada como texto</t>
  </si>
  <si>
    <t>Repositorios JPA</t>
  </si>
  <si>
    <t>Uso de consultas parametrizadas</t>
  </si>
  <si>
    <t>MTC_0180</t>
  </si>
  <si>
    <t>XSS en entradas de texto</t>
  </si>
  <si>
    <t>Evitar ejecución de scripts</t>
  </si>
  <si>
    <t>Validaciones</t>
  </si>
  <si>
    <t>No existe interfaz web tradicional</t>
  </si>
  <si>
    <t>MTC_0190</t>
  </si>
  <si>
    <t>Verificar documentación Swagger</t>
  </si>
  <si>
    <t>Mostrar endpoints disponibles</t>
  </si>
  <si>
    <t>Swagger accesible</t>
  </si>
  <si>
    <t>SwaggerConfig</t>
  </si>
  <si>
    <t>NO</t>
  </si>
  <si>
    <t>Documentación operativa</t>
  </si>
  <si>
    <t>MTC_0200</t>
  </si>
  <si>
    <t>Prueba sobre funcionalidad eliminada</t>
  </si>
  <si>
    <t>Evaluar módulo descontinuado</t>
  </si>
  <si>
    <t>Módulo inexistente</t>
  </si>
  <si>
    <t>Funcionalidad antigua</t>
  </si>
  <si>
    <t>Obsoleto</t>
  </si>
  <si>
    <t>Caso mantenido por trazabilidad</t>
  </si>
  <si>
    <t>Casos</t>
  </si>
  <si>
    <t>Total de casos</t>
  </si>
  <si>
    <t>% de  avance</t>
  </si>
  <si>
    <t>Total casos que ejecuto cada integrante del equipo</t>
  </si>
  <si>
    <t>Total Casos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</si>
</sst>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24.0"/>
      <color theme="1"/>
      <name val="Calibri"/>
    </font>
    <font/>
    <font>
      <sz val="10.0"/>
      <color theme="1"/>
      <name val="Calibri"/>
    </font>
    <font>
      <sz val="11.0"/>
      <color rgb="FF000000"/>
      <name val="Inconsolata"/>
    </font>
    <font>
      <sz val="20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33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7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left" readingOrder="0" shrinkToFit="0" vertical="top" wrapText="1"/>
    </xf>
    <xf borderId="15" fillId="2" fontId="1" numFmtId="0" xfId="0" applyBorder="1" applyFont="1"/>
    <xf borderId="16" fillId="2" fontId="1" numFmtId="0" xfId="0" applyBorder="1" applyFont="1"/>
    <xf borderId="17" fillId="2" fontId="1" numFmtId="0" xfId="0" applyBorder="1" applyFont="1"/>
    <xf quotePrefix="1" borderId="18" fillId="3" fontId="4" numFmtId="0" xfId="0" applyAlignment="1" applyBorder="1" applyFill="1" applyFont="1">
      <alignment horizontal="center" shrinkToFit="0" wrapText="1"/>
    </xf>
    <xf borderId="18" fillId="3" fontId="4" numFmtId="0" xfId="0" applyAlignment="1" applyBorder="1" applyFont="1">
      <alignment horizontal="center" shrinkToFit="0" wrapText="1"/>
    </xf>
    <xf borderId="18" fillId="3" fontId="4" numFmtId="0" xfId="0" applyAlignment="1" applyBorder="1" applyFont="1">
      <alignment shrinkToFit="0" wrapText="1"/>
    </xf>
    <xf borderId="0" fillId="0" fontId="1" numFmtId="0" xfId="0" applyFont="1"/>
    <xf borderId="18" fillId="3" fontId="4" numFmtId="1" xfId="0" applyAlignment="1" applyBorder="1" applyFont="1" applyNumberFormat="1">
      <alignment shrinkToFit="0" vertical="center" wrapText="1"/>
    </xf>
    <xf borderId="18" fillId="3" fontId="4" numFmtId="0" xfId="0" applyAlignment="1" applyBorder="1" applyFont="1">
      <alignment readingOrder="0" shrinkToFit="0" wrapText="1"/>
    </xf>
    <xf borderId="18" fillId="3" fontId="4" numFmtId="0" xfId="0" applyAlignment="1" applyBorder="1" applyFont="1">
      <alignment readingOrder="0" shrinkToFit="0" vertical="center" wrapText="1"/>
    </xf>
    <xf borderId="18" fillId="3" fontId="4" numFmtId="0" xfId="0" applyAlignment="1" applyBorder="1" applyFont="1">
      <alignment shrinkToFit="0" vertical="center" wrapText="1"/>
    </xf>
    <xf borderId="1" fillId="4" fontId="1" numFmtId="0" xfId="0" applyBorder="1" applyFill="1" applyFont="1"/>
    <xf borderId="18" fillId="3" fontId="4" numFmtId="1" xfId="0" applyAlignment="1" applyBorder="1" applyFont="1" applyNumberFormat="1">
      <alignment readingOrder="0" shrinkToFit="0" vertical="center" wrapText="1"/>
    </xf>
    <xf borderId="18" fillId="3" fontId="4" numFmtId="1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horizontal="center"/>
    </xf>
    <xf borderId="1" fillId="4" fontId="5" numFmtId="0" xfId="0" applyBorder="1" applyFont="1"/>
    <xf borderId="19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vertical="center"/>
    </xf>
    <xf borderId="18" fillId="2" fontId="1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22" fillId="2" fontId="1" numFmtId="0" xfId="0" applyAlignment="1" applyBorder="1" applyFont="1">
      <alignment vertical="center"/>
    </xf>
    <xf borderId="23" fillId="0" fontId="3" numFmtId="0" xfId="0" applyBorder="1" applyFont="1"/>
    <xf borderId="24" fillId="2" fontId="6" numFmtId="164" xfId="0" applyAlignment="1" applyBorder="1" applyFont="1" applyNumberFormat="1">
      <alignment horizontal="center" vertical="center"/>
    </xf>
    <xf borderId="25" fillId="0" fontId="3" numFmtId="0" xfId="0" applyBorder="1" applyFont="1"/>
    <xf borderId="19" fillId="2" fontId="6" numFmtId="9" xfId="0" applyAlignment="1" applyBorder="1" applyFont="1" applyNumberForma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7" fillId="2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2" fillId="2" fontId="1" numFmtId="0" xfId="0" applyAlignment="1" applyBorder="1" applyFont="1">
      <alignment readingOrder="0"/>
    </xf>
    <xf borderId="29" fillId="2" fontId="1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18" fillId="2" fontId="1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Control!$C$6:$C$10</c:f>
            </c:strRef>
          </c:cat>
          <c:val>
            <c:numRef>
              <c:f>Control!$D$6:$D$10</c:f>
              <c:numCache/>
            </c:numRef>
          </c:val>
        </c:ser>
        <c:axId val="556724497"/>
        <c:axId val="1838798764"/>
      </c:barChart>
      <c:catAx>
        <c:axId val="5567244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8798764"/>
      </c:catAx>
      <c:valAx>
        <c:axId val="18387987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6724497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dPt>
            <c:idx val="0"/>
            <c:spPr>
              <a:solidFill>
                <a:srgbClr val="F6B26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76A5AF"/>
              </a:solidFill>
              <a:ln cmpd="sng">
                <a:noFill/>
              </a:ln>
            </c:spPr>
          </c:dPt>
          <c:cat>
            <c:strRef>
              <c:f>Control!$E$36:$E$39</c:f>
            </c:strRef>
          </c:cat>
          <c:val>
            <c:numRef>
              <c:f>Control!$F$36:$F$39</c:f>
              <c:numCache/>
            </c:numRef>
          </c:val>
        </c:ser>
        <c:ser>
          <c:idx val="1"/>
          <c:order val="1"/>
          <c:cat>
            <c:strRef>
              <c:f>Control!$E$36:$E$39</c:f>
            </c:strRef>
          </c:cat>
          <c:val>
            <c:numRef>
              <c:f>Control!$G$36:$G$39</c:f>
              <c:numCache/>
            </c:numRef>
          </c:val>
        </c:ser>
        <c:axId val="1071810684"/>
        <c:axId val="318321994"/>
      </c:barChart>
      <c:catAx>
        <c:axId val="1071810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18321994"/>
      </c:catAx>
      <c:valAx>
        <c:axId val="318321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7181068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10</xdr:row>
      <xdr:rowOff>0</xdr:rowOff>
    </xdr:from>
    <xdr:ext cx="152400" cy="180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3</xdr:row>
      <xdr:rowOff>28575</xdr:rowOff>
    </xdr:from>
    <xdr:ext cx="4314825" cy="2714625"/>
    <xdr:graphicFrame>
      <xdr:nvGraphicFramePr>
        <xdr:cNvPr id="131413100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>
      <xdr:nvGraphicFramePr>
        <xdr:cNvPr id="114855937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.29"/>
    <col customWidth="1" min="4" max="10" width="9.43"/>
    <col customWidth="1" min="11" max="12" width="3.29"/>
    <col customWidth="1" min="13" max="25" width="10.71"/>
  </cols>
  <sheetData>
    <row r="1" ht="14.25" customHeight="1">
      <c r="A1" s="1">
        <v>1.0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5"/>
      <c r="C6" s="5"/>
      <c r="D6" s="1"/>
      <c r="E6" s="7" t="s">
        <v>0</v>
      </c>
      <c r="F6" s="8"/>
      <c r="G6" s="8"/>
      <c r="H6" s="8"/>
      <c r="I6" s="9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5"/>
      <c r="C7" s="5"/>
      <c r="D7" s="1"/>
      <c r="E7" s="10"/>
      <c r="I7" s="11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5"/>
      <c r="C8" s="5"/>
      <c r="D8" s="1"/>
      <c r="E8" s="10"/>
      <c r="I8" s="11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5"/>
      <c r="C9" s="5"/>
      <c r="D9" s="1"/>
      <c r="E9" s="10"/>
      <c r="I9" s="11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5"/>
      <c r="C10" s="5"/>
      <c r="D10" s="1"/>
      <c r="E10" s="12"/>
      <c r="F10" s="13"/>
      <c r="G10" s="13"/>
      <c r="H10" s="13"/>
      <c r="I10" s="14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5"/>
      <c r="C11" s="5"/>
      <c r="D11" s="1"/>
      <c r="E11" s="15"/>
      <c r="F11" s="8"/>
      <c r="G11" s="8"/>
      <c r="H11" s="8"/>
      <c r="I11" s="9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5"/>
      <c r="C12" s="5"/>
      <c r="D12" s="1"/>
      <c r="E12" s="10"/>
      <c r="I12" s="1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5"/>
      <c r="C13" s="5"/>
      <c r="D13" s="1"/>
      <c r="E13" s="10"/>
      <c r="I13" s="1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5"/>
      <c r="C14" s="5"/>
      <c r="D14" s="1"/>
      <c r="E14" s="10"/>
      <c r="I14" s="1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5"/>
      <c r="C15" s="5"/>
      <c r="D15" s="1"/>
      <c r="E15" s="10"/>
      <c r="I15" s="1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5"/>
      <c r="C16" s="5"/>
      <c r="D16" s="1"/>
      <c r="E16" s="12"/>
      <c r="F16" s="13"/>
      <c r="G16" s="13"/>
      <c r="H16" s="13"/>
      <c r="I16" s="14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5"/>
      <c r="C35" s="5"/>
      <c r="D35" s="1"/>
      <c r="E35" s="16" t="s">
        <v>1</v>
      </c>
      <c r="F35" s="8"/>
      <c r="G35" s="8"/>
      <c r="H35" s="8"/>
      <c r="I35" s="9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5"/>
      <c r="C36" s="5"/>
      <c r="D36" s="1"/>
      <c r="E36" s="10"/>
      <c r="I36" s="11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5"/>
      <c r="C37" s="5"/>
      <c r="D37" s="1"/>
      <c r="E37" s="10"/>
      <c r="I37" s="11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5"/>
      <c r="C38" s="5"/>
      <c r="D38" s="1"/>
      <c r="E38" s="10"/>
      <c r="I38" s="11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5"/>
      <c r="C39" s="5"/>
      <c r="D39" s="1"/>
      <c r="E39" s="12"/>
      <c r="F39" s="13"/>
      <c r="G39" s="13"/>
      <c r="H39" s="13"/>
      <c r="I39" s="14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5"/>
      <c r="C43" s="17"/>
      <c r="D43" s="18"/>
      <c r="E43" s="18"/>
      <c r="F43" s="18"/>
      <c r="G43" s="18"/>
      <c r="H43" s="18"/>
      <c r="I43" s="18"/>
      <c r="J43" s="18"/>
      <c r="K43" s="19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E6:I10"/>
    <mergeCell ref="E11:I16"/>
    <mergeCell ref="E35:I3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4.0"/>
    <col customWidth="1" min="3" max="3" width="14.43"/>
    <col customWidth="1" min="4" max="5" width="18.29"/>
    <col customWidth="1" min="6" max="6" width="24.71"/>
    <col customWidth="1" min="7" max="7" width="14.43"/>
    <col customWidth="1" min="8" max="8" width="13.14"/>
    <col customWidth="1" min="9" max="9" width="23.29"/>
    <col customWidth="1" min="10" max="10" width="22.43"/>
    <col customWidth="1" min="11" max="26" width="14.43"/>
  </cols>
  <sheetData>
    <row r="1">
      <c r="A1" s="20" t="s">
        <v>2</v>
      </c>
      <c r="B1" s="21" t="s">
        <v>3</v>
      </c>
      <c r="C1" s="21" t="s">
        <v>4</v>
      </c>
      <c r="D1" s="21" t="s">
        <v>5</v>
      </c>
      <c r="E1" s="21" t="s">
        <v>6</v>
      </c>
      <c r="F1" s="22" t="s">
        <v>7</v>
      </c>
      <c r="G1" s="22" t="s">
        <v>8</v>
      </c>
      <c r="H1" s="22" t="s">
        <v>9</v>
      </c>
      <c r="I1" s="22" t="s">
        <v>10</v>
      </c>
      <c r="J1" s="22" t="s">
        <v>11</v>
      </c>
      <c r="K1" s="22" t="s">
        <v>12</v>
      </c>
      <c r="L1" s="23"/>
    </row>
    <row r="2">
      <c r="A2" s="24" t="s">
        <v>13</v>
      </c>
      <c r="B2" s="25" t="s">
        <v>14</v>
      </c>
      <c r="C2" s="26" t="s">
        <v>15</v>
      </c>
      <c r="D2" s="25" t="s">
        <v>16</v>
      </c>
      <c r="E2" s="25" t="s">
        <v>17</v>
      </c>
      <c r="F2" s="25" t="s">
        <v>18</v>
      </c>
      <c r="G2" s="26" t="s">
        <v>19</v>
      </c>
      <c r="H2" s="27" t="s">
        <v>20</v>
      </c>
      <c r="I2" s="25" t="s">
        <v>21</v>
      </c>
      <c r="J2" s="26" t="s">
        <v>22</v>
      </c>
      <c r="K2" s="22" t="s">
        <v>23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4" t="s">
        <v>24</v>
      </c>
      <c r="B3" s="25" t="s">
        <v>25</v>
      </c>
      <c r="C3" s="27" t="s">
        <v>15</v>
      </c>
      <c r="D3" s="25" t="s">
        <v>26</v>
      </c>
      <c r="E3" s="25" t="s">
        <v>27</v>
      </c>
      <c r="F3" s="25" t="s">
        <v>18</v>
      </c>
      <c r="G3" s="26" t="s">
        <v>19</v>
      </c>
      <c r="H3" s="26" t="s">
        <v>20</v>
      </c>
      <c r="I3" s="25" t="s">
        <v>28</v>
      </c>
      <c r="J3" s="26" t="s">
        <v>29</v>
      </c>
      <c r="K3" s="22" t="s">
        <v>23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4" t="s">
        <v>30</v>
      </c>
      <c r="B4" s="25" t="s">
        <v>31</v>
      </c>
      <c r="C4" s="26" t="s">
        <v>32</v>
      </c>
      <c r="D4" s="25" t="s">
        <v>33</v>
      </c>
      <c r="E4" s="25" t="s">
        <v>34</v>
      </c>
      <c r="F4" s="25" t="s">
        <v>35</v>
      </c>
      <c r="G4" s="26" t="s">
        <v>19</v>
      </c>
      <c r="H4" s="27" t="s">
        <v>20</v>
      </c>
      <c r="I4" s="25" t="s">
        <v>36</v>
      </c>
      <c r="J4" s="26" t="s">
        <v>37</v>
      </c>
      <c r="K4" s="22" t="s">
        <v>23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4" t="s">
        <v>38</v>
      </c>
      <c r="B5" s="25" t="s">
        <v>39</v>
      </c>
      <c r="C5" s="26" t="s">
        <v>40</v>
      </c>
      <c r="D5" s="25" t="s">
        <v>41</v>
      </c>
      <c r="E5" s="26" t="s">
        <v>42</v>
      </c>
      <c r="F5" s="25" t="s">
        <v>35</v>
      </c>
      <c r="G5" s="26" t="s">
        <v>43</v>
      </c>
      <c r="H5" s="27" t="s">
        <v>20</v>
      </c>
      <c r="I5" s="25" t="s">
        <v>44</v>
      </c>
      <c r="J5" s="26" t="s">
        <v>45</v>
      </c>
      <c r="K5" s="25" t="s">
        <v>46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4" t="s">
        <v>47</v>
      </c>
      <c r="B6" s="25" t="s">
        <v>48</v>
      </c>
      <c r="C6" s="26" t="s">
        <v>49</v>
      </c>
      <c r="D6" s="25" t="s">
        <v>50</v>
      </c>
      <c r="E6" s="25" t="s">
        <v>51</v>
      </c>
      <c r="F6" s="25" t="s">
        <v>52</v>
      </c>
      <c r="G6" s="26" t="s">
        <v>53</v>
      </c>
      <c r="H6" s="27" t="s">
        <v>20</v>
      </c>
      <c r="I6" s="25" t="s">
        <v>54</v>
      </c>
      <c r="J6" s="26" t="s">
        <v>22</v>
      </c>
      <c r="K6" s="25" t="s">
        <v>55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4" t="s">
        <v>56</v>
      </c>
      <c r="B7" s="25" t="s">
        <v>57</v>
      </c>
      <c r="C7" s="26" t="s">
        <v>58</v>
      </c>
      <c r="D7" s="25" t="s">
        <v>59</v>
      </c>
      <c r="E7" s="25" t="s">
        <v>60</v>
      </c>
      <c r="F7" s="25" t="s">
        <v>61</v>
      </c>
      <c r="G7" s="26" t="s">
        <v>62</v>
      </c>
      <c r="H7" s="27" t="s">
        <v>20</v>
      </c>
      <c r="I7" s="25" t="s">
        <v>63</v>
      </c>
      <c r="J7" s="26" t="s">
        <v>29</v>
      </c>
      <c r="K7" s="25" t="s">
        <v>55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4" t="s">
        <v>64</v>
      </c>
      <c r="B8" s="25" t="s">
        <v>65</v>
      </c>
      <c r="C8" s="26" t="s">
        <v>66</v>
      </c>
      <c r="D8" s="25" t="s">
        <v>67</v>
      </c>
      <c r="E8" s="25" t="s">
        <v>68</v>
      </c>
      <c r="F8" s="25" t="s">
        <v>35</v>
      </c>
      <c r="G8" s="27" t="s">
        <v>62</v>
      </c>
      <c r="H8" s="27" t="s">
        <v>20</v>
      </c>
      <c r="I8" s="25" t="s">
        <v>69</v>
      </c>
      <c r="J8" s="26" t="s">
        <v>37</v>
      </c>
      <c r="K8" s="25" t="s">
        <v>46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4" t="s">
        <v>70</v>
      </c>
      <c r="B9" s="25" t="s">
        <v>71</v>
      </c>
      <c r="C9" s="26" t="s">
        <v>72</v>
      </c>
      <c r="D9" s="25" t="s">
        <v>73</v>
      </c>
      <c r="E9" s="25" t="s">
        <v>74</v>
      </c>
      <c r="F9" s="25" t="s">
        <v>75</v>
      </c>
      <c r="G9" s="27" t="s">
        <v>62</v>
      </c>
      <c r="H9" s="27" t="s">
        <v>20</v>
      </c>
      <c r="I9" s="25" t="s">
        <v>76</v>
      </c>
      <c r="J9" s="26" t="s">
        <v>45</v>
      </c>
      <c r="K9" s="25" t="s">
        <v>55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4" t="s">
        <v>77</v>
      </c>
      <c r="B10" s="25" t="s">
        <v>78</v>
      </c>
      <c r="C10" s="27" t="s">
        <v>15</v>
      </c>
      <c r="D10" s="25" t="s">
        <v>79</v>
      </c>
      <c r="E10" s="25" t="s">
        <v>80</v>
      </c>
      <c r="F10" s="25" t="s">
        <v>35</v>
      </c>
      <c r="G10" s="26" t="s">
        <v>19</v>
      </c>
      <c r="H10" s="27" t="s">
        <v>20</v>
      </c>
      <c r="I10" s="25" t="s">
        <v>81</v>
      </c>
      <c r="J10" s="26" t="s">
        <v>22</v>
      </c>
      <c r="K10" s="22" t="s">
        <v>23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4" t="s">
        <v>82</v>
      </c>
      <c r="B11" s="25" t="s">
        <v>83</v>
      </c>
      <c r="C11" s="27" t="s">
        <v>15</v>
      </c>
      <c r="D11" s="25" t="s">
        <v>84</v>
      </c>
      <c r="E11" s="25" t="s">
        <v>85</v>
      </c>
      <c r="F11" s="25" t="s">
        <v>35</v>
      </c>
      <c r="G11" s="26" t="s">
        <v>19</v>
      </c>
      <c r="H11" s="27" t="s">
        <v>20</v>
      </c>
      <c r="I11" s="25" t="s">
        <v>86</v>
      </c>
      <c r="J11" s="26" t="s">
        <v>29</v>
      </c>
      <c r="K11" s="22" t="s">
        <v>23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9" t="s">
        <v>87</v>
      </c>
      <c r="B12" s="25" t="s">
        <v>88</v>
      </c>
      <c r="C12" s="26" t="s">
        <v>15</v>
      </c>
      <c r="D12" s="25" t="s">
        <v>89</v>
      </c>
      <c r="E12" s="25" t="s">
        <v>90</v>
      </c>
      <c r="F12" s="25" t="s">
        <v>75</v>
      </c>
      <c r="G12" s="26" t="s">
        <v>19</v>
      </c>
      <c r="H12" s="26" t="s">
        <v>20</v>
      </c>
      <c r="I12" s="25" t="s">
        <v>91</v>
      </c>
      <c r="J12" s="26" t="s">
        <v>37</v>
      </c>
      <c r="K12" s="25" t="s">
        <v>23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0" t="s">
        <v>92</v>
      </c>
      <c r="B13" s="25" t="s">
        <v>93</v>
      </c>
      <c r="C13" s="26" t="s">
        <v>15</v>
      </c>
      <c r="D13" s="25" t="s">
        <v>94</v>
      </c>
      <c r="E13" s="25" t="s">
        <v>95</v>
      </c>
      <c r="F13" s="25" t="s">
        <v>75</v>
      </c>
      <c r="G13" s="26" t="s">
        <v>19</v>
      </c>
      <c r="H13" s="26" t="s">
        <v>20</v>
      </c>
      <c r="I13" s="25" t="s">
        <v>96</v>
      </c>
      <c r="J13" s="26" t="s">
        <v>45</v>
      </c>
      <c r="K13" s="25" t="s">
        <v>46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0" t="s">
        <v>97</v>
      </c>
      <c r="B14" s="25" t="s">
        <v>98</v>
      </c>
      <c r="C14" s="26" t="s">
        <v>15</v>
      </c>
      <c r="D14" s="25" t="s">
        <v>99</v>
      </c>
      <c r="E14" s="25" t="s">
        <v>80</v>
      </c>
      <c r="F14" s="25" t="s">
        <v>75</v>
      </c>
      <c r="G14" s="26" t="s">
        <v>19</v>
      </c>
      <c r="H14" s="26" t="s">
        <v>20</v>
      </c>
      <c r="I14" s="25" t="s">
        <v>81</v>
      </c>
      <c r="J14" s="26" t="s">
        <v>22</v>
      </c>
      <c r="K14" s="25" t="s">
        <v>23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0" t="s">
        <v>100</v>
      </c>
      <c r="B15" s="25" t="s">
        <v>101</v>
      </c>
      <c r="C15" s="26" t="s">
        <v>102</v>
      </c>
      <c r="D15" s="25" t="s">
        <v>103</v>
      </c>
      <c r="E15" s="25" t="s">
        <v>104</v>
      </c>
      <c r="F15" s="25" t="s">
        <v>105</v>
      </c>
      <c r="G15" s="26" t="s">
        <v>19</v>
      </c>
      <c r="H15" s="26" t="s">
        <v>20</v>
      </c>
      <c r="I15" s="25" t="s">
        <v>106</v>
      </c>
      <c r="J15" s="26" t="s">
        <v>29</v>
      </c>
      <c r="K15" s="25" t="s">
        <v>23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0" t="s">
        <v>107</v>
      </c>
      <c r="B16" s="25" t="s">
        <v>108</v>
      </c>
      <c r="C16" s="26" t="s">
        <v>102</v>
      </c>
      <c r="D16" s="25" t="s">
        <v>109</v>
      </c>
      <c r="E16" s="25" t="s">
        <v>110</v>
      </c>
      <c r="F16" s="25" t="s">
        <v>111</v>
      </c>
      <c r="G16" s="26" t="s">
        <v>19</v>
      </c>
      <c r="H16" s="26" t="s">
        <v>20</v>
      </c>
      <c r="I16" s="25" t="s">
        <v>96</v>
      </c>
      <c r="J16" s="26" t="s">
        <v>37</v>
      </c>
      <c r="K16" s="25" t="s">
        <v>23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0" t="s">
        <v>112</v>
      </c>
      <c r="B17" s="25" t="s">
        <v>113</v>
      </c>
      <c r="C17" s="26" t="s">
        <v>40</v>
      </c>
      <c r="D17" s="25" t="s">
        <v>114</v>
      </c>
      <c r="E17" s="25" t="s">
        <v>115</v>
      </c>
      <c r="F17" s="25" t="s">
        <v>115</v>
      </c>
      <c r="G17" s="26" t="s">
        <v>19</v>
      </c>
      <c r="H17" s="26" t="s">
        <v>20</v>
      </c>
      <c r="I17" s="25" t="s">
        <v>116</v>
      </c>
      <c r="J17" s="26" t="s">
        <v>45</v>
      </c>
      <c r="K17" s="25" t="s">
        <v>46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0" t="s">
        <v>117</v>
      </c>
      <c r="B18" s="25" t="s">
        <v>118</v>
      </c>
      <c r="C18" s="26" t="s">
        <v>40</v>
      </c>
      <c r="D18" s="25" t="s">
        <v>119</v>
      </c>
      <c r="E18" s="25" t="s">
        <v>120</v>
      </c>
      <c r="F18" s="25" t="s">
        <v>121</v>
      </c>
      <c r="G18" s="26" t="s">
        <v>19</v>
      </c>
      <c r="H18" s="26" t="s">
        <v>20</v>
      </c>
      <c r="I18" s="25" t="s">
        <v>122</v>
      </c>
      <c r="J18" s="26" t="s">
        <v>22</v>
      </c>
      <c r="K18" s="25" t="s">
        <v>46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0" t="s">
        <v>123</v>
      </c>
      <c r="B19" s="25" t="s">
        <v>124</v>
      </c>
      <c r="C19" s="26" t="s">
        <v>102</v>
      </c>
      <c r="D19" s="25" t="s">
        <v>125</v>
      </c>
      <c r="E19" s="25" t="s">
        <v>74</v>
      </c>
      <c r="F19" s="25" t="s">
        <v>126</v>
      </c>
      <c r="G19" s="26" t="s">
        <v>62</v>
      </c>
      <c r="H19" s="26" t="s">
        <v>20</v>
      </c>
      <c r="I19" s="25" t="s">
        <v>127</v>
      </c>
      <c r="J19" s="26" t="s">
        <v>29</v>
      </c>
      <c r="K19" s="25" t="s">
        <v>23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0" t="s">
        <v>128</v>
      </c>
      <c r="B20" s="25" t="s">
        <v>129</v>
      </c>
      <c r="C20" s="26" t="s">
        <v>15</v>
      </c>
      <c r="D20" s="25" t="s">
        <v>130</v>
      </c>
      <c r="E20" s="25" t="s">
        <v>131</v>
      </c>
      <c r="F20" s="25" t="s">
        <v>132</v>
      </c>
      <c r="G20" s="26" t="s">
        <v>19</v>
      </c>
      <c r="H20" s="26" t="s">
        <v>133</v>
      </c>
      <c r="I20" s="25" t="s">
        <v>134</v>
      </c>
      <c r="J20" s="26" t="s">
        <v>37</v>
      </c>
      <c r="K20" s="25" t="s">
        <v>23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0" t="s">
        <v>135</v>
      </c>
      <c r="B21" s="25" t="s">
        <v>136</v>
      </c>
      <c r="C21" s="27" t="s">
        <v>15</v>
      </c>
      <c r="D21" s="25" t="s">
        <v>137</v>
      </c>
      <c r="E21" s="25" t="s">
        <v>138</v>
      </c>
      <c r="F21" s="25" t="s">
        <v>139</v>
      </c>
      <c r="G21" s="26" t="s">
        <v>140</v>
      </c>
      <c r="H21" s="26" t="s">
        <v>133</v>
      </c>
      <c r="I21" s="25" t="s">
        <v>141</v>
      </c>
      <c r="J21" s="26" t="s">
        <v>45</v>
      </c>
      <c r="K21" s="22" t="s">
        <v>23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dataValidations>
    <dataValidation type="list" allowBlank="1" showErrorMessage="1" sqref="K2:K21">
      <formula1>'Datos del plan'!$C$1:$C$3</formula1>
    </dataValidation>
    <dataValidation type="list" allowBlank="1" showErrorMessage="1" sqref="C2:C21">
      <formula1>'Datos del plan'!$A$1:$A$8</formula1>
    </dataValidation>
    <dataValidation type="list" allowBlank="1" showErrorMessage="1" sqref="H2:H21">
      <formula1>'Datos del plan'!$D$1:$D$2</formula1>
    </dataValidation>
    <dataValidation type="list" allowBlank="1" showErrorMessage="1" sqref="G2:G21">
      <formula1>'Datos del plan'!$B$1:$B$5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57"/>
    <col customWidth="1" min="3" max="3" width="16.14"/>
    <col customWidth="1" min="4" max="4" width="11.57"/>
    <col customWidth="1" min="5" max="5" width="4.86"/>
    <col customWidth="1" min="6" max="6" width="17.0"/>
    <col customWidth="1" min="7" max="11" width="10.71"/>
    <col customWidth="1" min="12" max="12" width="5.43"/>
    <col customWidth="1" min="13" max="26" width="10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W1" s="1"/>
    </row>
    <row r="2" ht="14.25" customHeight="1">
      <c r="A2" s="1"/>
      <c r="B2" s="31"/>
      <c r="C2" s="31"/>
      <c r="D2" s="3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Z2" s="1"/>
    </row>
    <row r="3" ht="14.25" customHeight="1">
      <c r="A3" s="1"/>
      <c r="B3" s="31"/>
      <c r="C3" s="31"/>
      <c r="D3" s="3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Z3" s="1"/>
    </row>
    <row r="4" ht="14.25" customHeight="1">
      <c r="A4" s="1"/>
      <c r="B4" s="31"/>
      <c r="C4" s="31"/>
      <c r="D4" s="3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32"/>
      <c r="Q5" s="1"/>
      <c r="R5" s="1"/>
      <c r="Z5" s="1"/>
    </row>
    <row r="6" ht="14.25" customHeight="1">
      <c r="A6" s="1"/>
      <c r="B6" s="33" t="s">
        <v>142</v>
      </c>
      <c r="C6" s="34" t="s">
        <v>19</v>
      </c>
      <c r="D6" s="35">
        <f>COUNTIF('Identificación Casos'!G2:G21,Control!C6)</f>
        <v>13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2"/>
      <c r="Q6" s="1"/>
      <c r="R6" s="1"/>
      <c r="Z6" s="1"/>
    </row>
    <row r="7" ht="14.25" customHeight="1">
      <c r="A7" s="1"/>
      <c r="B7" s="36"/>
      <c r="C7" s="34" t="s">
        <v>43</v>
      </c>
      <c r="D7" s="35">
        <f>COUNTIF('Identificación Casos'!G2:G21,Control!C7)</f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Z7" s="1"/>
    </row>
    <row r="8" ht="14.25" customHeight="1">
      <c r="A8" s="1"/>
      <c r="B8" s="36"/>
      <c r="C8" s="34" t="s">
        <v>62</v>
      </c>
      <c r="D8" s="35">
        <f>COUNTIF('Identificación Casos'!$G$2:G45,C8)</f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Z8" s="1"/>
    </row>
    <row r="9" ht="14.25" customHeight="1">
      <c r="A9" s="1"/>
      <c r="B9" s="36"/>
      <c r="C9" s="34" t="s">
        <v>53</v>
      </c>
      <c r="D9" s="35">
        <f>COUNTIF('Identificación Casos'!$G$2:G46,C9)</f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32"/>
      <c r="P9" s="1"/>
      <c r="Q9" s="1"/>
      <c r="R9" s="1"/>
      <c r="Z9" s="1"/>
    </row>
    <row r="10" ht="14.25" customHeight="1">
      <c r="A10" s="1"/>
      <c r="B10" s="37"/>
      <c r="C10" s="34" t="s">
        <v>140</v>
      </c>
      <c r="D10" s="35">
        <f>COUNTIF('Identificación Casos'!$G$2:G47,C10)</f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Z10" s="1"/>
    </row>
    <row r="11" ht="14.25" customHeight="1">
      <c r="A11" s="1"/>
      <c r="B11" s="38"/>
      <c r="C11" s="38"/>
      <c r="D11" s="3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Z11" s="1"/>
    </row>
    <row r="12" ht="14.25" customHeight="1">
      <c r="A12" s="1"/>
      <c r="B12" s="38"/>
      <c r="C12" s="38"/>
      <c r="D12" s="3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Z12" s="1"/>
    </row>
    <row r="13" ht="14.25" customHeight="1">
      <c r="A13" s="1"/>
      <c r="B13" s="40" t="s">
        <v>143</v>
      </c>
      <c r="C13" s="41"/>
      <c r="D13" s="35">
        <f>COUNTIF('Identificación Casos'!A2:A43,"*")</f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Z13" s="1"/>
    </row>
    <row r="14" ht="14.25" customHeight="1">
      <c r="A14" s="1"/>
      <c r="B14" s="38"/>
      <c r="C14" s="38"/>
      <c r="D14" s="3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Z14" s="1"/>
    </row>
    <row r="15" ht="14.25" customHeight="1">
      <c r="A15" s="1"/>
      <c r="B15" s="38"/>
      <c r="C15" s="38"/>
      <c r="D15" s="3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Z15" s="1"/>
    </row>
    <row r="16" ht="14.25" customHeight="1">
      <c r="A16" s="1"/>
      <c r="B16" s="42" t="s">
        <v>144</v>
      </c>
      <c r="C16" s="43"/>
      <c r="D16" s="44">
        <f>SUM(D6+D7+D9+D10)/D13</f>
        <v>0.8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Z16" s="1"/>
    </row>
    <row r="17" ht="14.25" customHeight="1">
      <c r="A17" s="1"/>
      <c r="B17" s="45"/>
      <c r="C17" s="46"/>
      <c r="D17" s="3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47"/>
      <c r="N20" s="9"/>
      <c r="O20" s="1"/>
      <c r="P20" s="1"/>
      <c r="Q20" s="1"/>
      <c r="R20" s="1"/>
      <c r="Z20" s="1"/>
    </row>
    <row r="21" ht="14.25" customHeight="1">
      <c r="A21" s="1"/>
      <c r="B21" s="32"/>
      <c r="C21" s="1"/>
      <c r="D21" s="1"/>
      <c r="E21" s="1"/>
      <c r="F21" s="1"/>
      <c r="G21" s="1"/>
      <c r="H21" s="1"/>
      <c r="I21" s="1"/>
      <c r="J21" s="1"/>
      <c r="K21" s="1"/>
      <c r="L21" s="1"/>
      <c r="M21" s="12"/>
      <c r="N21" s="14"/>
      <c r="O21" s="1"/>
      <c r="P21" s="1"/>
      <c r="Q21" s="1"/>
      <c r="R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R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R23" s="1"/>
    </row>
    <row r="24" ht="14.25" customHeight="1">
      <c r="A24" s="1"/>
      <c r="D24" s="1"/>
      <c r="E24" s="1"/>
      <c r="F24" s="1"/>
      <c r="G24" s="1"/>
      <c r="H24" s="1"/>
      <c r="I24" s="1"/>
      <c r="J24" s="1"/>
      <c r="R24" s="1"/>
    </row>
    <row r="25" ht="14.25" customHeight="1">
      <c r="A25" s="1"/>
      <c r="D25" s="1"/>
      <c r="E25" s="1"/>
      <c r="F25" s="1"/>
      <c r="G25" s="1"/>
      <c r="H25" s="1"/>
      <c r="I25" s="1"/>
      <c r="J25" s="1"/>
      <c r="R25" s="1"/>
    </row>
    <row r="26" ht="14.25" customHeight="1">
      <c r="A26" s="1"/>
      <c r="D26" s="1"/>
      <c r="E26" s="1"/>
      <c r="F26" s="1"/>
      <c r="G26" s="1"/>
      <c r="H26" s="1"/>
      <c r="I26" s="1"/>
      <c r="J26" s="1"/>
      <c r="R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48" t="s">
        <v>145</v>
      </c>
      <c r="C36" s="49"/>
      <c r="D36" s="43"/>
      <c r="E36" s="50" t="s">
        <v>22</v>
      </c>
      <c r="F36" s="41"/>
      <c r="G36" s="51">
        <f>COUNTIF('Identificación Casos'!J2:J1011,E36)</f>
        <v>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52"/>
      <c r="D37" s="53"/>
      <c r="E37" s="50" t="s">
        <v>29</v>
      </c>
      <c r="F37" s="41"/>
      <c r="G37" s="51">
        <f>COUNTIF('Identificación Casos'!J3:J1012,E37)</f>
        <v>5</v>
      </c>
      <c r="H37" s="23"/>
      <c r="I37" s="23"/>
      <c r="J37" s="23"/>
      <c r="K37" s="2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52"/>
      <c r="D38" s="53"/>
      <c r="E38" s="50" t="s">
        <v>37</v>
      </c>
      <c r="F38" s="41"/>
      <c r="G38" s="51">
        <f>COUNTIF('Identificación Casos'!J4:J1013,E38)</f>
        <v>5</v>
      </c>
      <c r="H38" s="23"/>
      <c r="I38" s="23"/>
      <c r="J38" s="23"/>
      <c r="K38" s="2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45"/>
      <c r="C39" s="54"/>
      <c r="D39" s="46"/>
      <c r="E39" s="50" t="s">
        <v>45</v>
      </c>
      <c r="F39" s="41"/>
      <c r="G39" s="55">
        <f>COUNTIF('Identificación Casos'!J5:J1014,E39)</f>
        <v>5</v>
      </c>
      <c r="H39" s="23"/>
      <c r="I39" s="23"/>
      <c r="J39" s="23"/>
      <c r="K39" s="2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H40" s="23"/>
      <c r="I40" s="23"/>
      <c r="J40" s="23"/>
      <c r="K40" s="2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F41" s="56" t="s">
        <v>146</v>
      </c>
      <c r="G41" s="23">
        <f>SUM(G36:G39)</f>
        <v>20</v>
      </c>
      <c r="H41" s="23"/>
      <c r="I41" s="23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23"/>
      <c r="I42" s="23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37:F37"/>
    <mergeCell ref="E38:F38"/>
    <mergeCell ref="B6:B10"/>
    <mergeCell ref="B13:C13"/>
    <mergeCell ref="B16:C17"/>
    <mergeCell ref="D16:D17"/>
    <mergeCell ref="M20:N21"/>
    <mergeCell ref="B36:D39"/>
    <mergeCell ref="E36:F36"/>
    <mergeCell ref="E39:F3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43"/>
    <col customWidth="1" min="3" max="3" width="6.29"/>
    <col customWidth="1" min="4" max="6" width="10.71"/>
  </cols>
  <sheetData>
    <row r="1" ht="14.25" customHeight="1">
      <c r="A1" s="23" t="s">
        <v>15</v>
      </c>
      <c r="B1" s="23" t="s">
        <v>19</v>
      </c>
      <c r="C1" s="56" t="s">
        <v>23</v>
      </c>
      <c r="D1" s="56" t="s">
        <v>20</v>
      </c>
    </row>
    <row r="2" ht="14.25" customHeight="1">
      <c r="A2" s="23" t="s">
        <v>102</v>
      </c>
      <c r="B2" s="23" t="s">
        <v>43</v>
      </c>
      <c r="C2" s="56" t="s">
        <v>46</v>
      </c>
      <c r="D2" s="56" t="s">
        <v>133</v>
      </c>
    </row>
    <row r="3" ht="14.25" customHeight="1">
      <c r="A3" s="23" t="s">
        <v>32</v>
      </c>
      <c r="B3" s="23" t="s">
        <v>62</v>
      </c>
      <c r="C3" s="56" t="s">
        <v>55</v>
      </c>
    </row>
    <row r="4" ht="14.25" customHeight="1">
      <c r="A4" s="23" t="s">
        <v>40</v>
      </c>
      <c r="B4" s="23" t="s">
        <v>53</v>
      </c>
    </row>
    <row r="5" ht="14.25" customHeight="1">
      <c r="A5" s="23" t="s">
        <v>49</v>
      </c>
      <c r="B5" s="23" t="s">
        <v>140</v>
      </c>
    </row>
    <row r="6" ht="14.25" customHeight="1">
      <c r="A6" s="23" t="s">
        <v>58</v>
      </c>
    </row>
    <row r="7" ht="14.25" customHeight="1">
      <c r="A7" s="23" t="s">
        <v>66</v>
      </c>
    </row>
    <row r="8" ht="14.25" customHeight="1">
      <c r="A8" s="23" t="s">
        <v>72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2022-11-12T13:19:55Z</dcterms:created>
  <dc:creator>Guzman Bozo, Jorge</dc:creator>
</cp:coreProperties>
</file>